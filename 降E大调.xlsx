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il5\Project\蜂鸣器播放音乐\"/>
    </mc:Choice>
  </mc:AlternateContent>
  <xr:revisionPtr revIDLastSave="0" documentId="13_ncr:1_{6438C46C-24AE-4F5C-8D4B-F79F8C4720DD}" xr6:coauthVersionLast="47" xr6:coauthVersionMax="47" xr10:uidLastSave="{00000000-0000-0000-0000-000000000000}"/>
  <bookViews>
    <workbookView xWindow="-110" yWindow="-110" windowWidth="25820" windowHeight="15500" xr2:uid="{F41D04BA-CB72-4BE8-9B72-831DA2295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" i="1" l="1"/>
  <c r="E8" i="1" s="1"/>
  <c r="C7" i="1"/>
  <c r="D7" i="1" s="1"/>
  <c r="E7" i="1" s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D25" i="1" s="1"/>
  <c r="E25" i="1" s="1"/>
  <c r="D21" i="1" l="1"/>
  <c r="E21" i="1" s="1"/>
  <c r="D20" i="1"/>
  <c r="E20" i="1" s="1"/>
  <c r="D19" i="1"/>
  <c r="E19" i="1" s="1"/>
  <c r="D18" i="1"/>
  <c r="E18" i="1" s="1"/>
  <c r="C6" i="1"/>
  <c r="D24" i="1"/>
  <c r="E24" i="1" s="1"/>
  <c r="D16" i="1"/>
  <c r="E16" i="1" s="1"/>
  <c r="D23" i="1"/>
  <c r="E23" i="1" s="1"/>
  <c r="D22" i="1"/>
  <c r="E22" i="1" s="1"/>
  <c r="D17" i="1"/>
  <c r="E17" i="1" s="1"/>
  <c r="D15" i="1"/>
  <c r="E15" i="1" s="1"/>
  <c r="D14" i="1"/>
  <c r="E14" i="1" s="1"/>
  <c r="D9" i="1"/>
  <c r="E9" i="1" s="1"/>
  <c r="D13" i="1"/>
  <c r="E13" i="1" s="1"/>
  <c r="D12" i="1"/>
  <c r="E12" i="1" s="1"/>
  <c r="D11" i="1"/>
  <c r="E11" i="1" s="1"/>
  <c r="D10" i="1"/>
  <c r="E10" i="1" s="1"/>
  <c r="C5" i="1" l="1"/>
  <c r="D6" i="1"/>
  <c r="E6" i="1" s="1"/>
  <c r="C4" i="1" l="1"/>
  <c r="D5" i="1"/>
  <c r="E5" i="1" s="1"/>
  <c r="C3" i="1" l="1"/>
  <c r="D4" i="1"/>
  <c r="E4" i="1" s="1"/>
  <c r="C2" i="1" l="1"/>
  <c r="D2" i="1" s="1"/>
  <c r="E2" i="1" s="1"/>
  <c r="D3" i="1"/>
  <c r="E3" i="1" s="1"/>
</calcChain>
</file>

<file path=xl/sharedStrings.xml><?xml version="1.0" encoding="utf-8"?>
<sst xmlns="http://schemas.openxmlformats.org/spreadsheetml/2006/main" count="16" uniqueCount="11">
  <si>
    <t>1#</t>
    <phoneticPr fontId="1" type="noConversion"/>
  </si>
  <si>
    <t>2#</t>
    <phoneticPr fontId="1" type="noConversion"/>
  </si>
  <si>
    <t>4#</t>
    <phoneticPr fontId="1" type="noConversion"/>
  </si>
  <si>
    <t>5#</t>
    <phoneticPr fontId="1" type="noConversion"/>
  </si>
  <si>
    <t>6#</t>
    <phoneticPr fontId="1" type="noConversion"/>
  </si>
  <si>
    <t>音符</t>
    <phoneticPr fontId="1" type="noConversion"/>
  </si>
  <si>
    <t>频率/Hz</t>
    <phoneticPr fontId="1" type="noConversion"/>
  </si>
  <si>
    <t>周期/us</t>
    <phoneticPr fontId="1" type="noConversion"/>
  </si>
  <si>
    <t>重装值</t>
    <phoneticPr fontId="1" type="noConversion"/>
  </si>
  <si>
    <t>中音</t>
    <phoneticPr fontId="1" type="noConversion"/>
  </si>
  <si>
    <t>高音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</si>
</sst>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625A-F328-4B24-8A3A-B36A7E65DE40}">
  <dimension ref="A1:E37"/>
  <sheetViews>
    <sheetView tabSelected="1" workbookViewId="0">
      <selection activeCell="F1" sqref="F1"/>
    </sheetView>
  </sheetViews>
  <sheetFormatPr defaultRowHeight="14" x14ac:dyDescent="0.3"/>
  <cols>
    <col min="1" max="1" width="3.33203125" customWidth="1"/>
    <col min="4" max="4" width="8.6640625" style="1"/>
  </cols>
  <sheetData>
    <row r="1" spans="1:5" x14ac:dyDescent="0.3"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3">
      <c r="A2" s="2" t="s">
        <v>9</v>
      </c>
      <c r="B2" s="1">
        <v>1</v>
      </c>
      <c r="C2">
        <f t="shared" ref="C2:C6" si="0">C3/2^(1/12)</f>
        <v>311.12698372208081</v>
      </c>
      <c r="D2">
        <f>(1/C2)*1000000</f>
        <v>3214.1217326661258</v>
      </c>
      <c r="E2" s="1">
        <f>ROUND(65536-D2/(24*(1/11.0592)),0)</f>
        <v>64055</v>
      </c>
    </row>
    <row r="3" spans="1:5" x14ac:dyDescent="0.3">
      <c r="A3" s="2"/>
      <c r="B3" s="1" t="s">
        <v>0</v>
      </c>
      <c r="C3">
        <f t="shared" si="0"/>
        <v>329.62755691286986</v>
      </c>
      <c r="D3">
        <f>(1/C3)*1000000</f>
        <v>3033.7269412955334</v>
      </c>
      <c r="E3" s="1">
        <f>ROUND(65536-D3/(24*(1/11.0592)),0)</f>
        <v>64138</v>
      </c>
    </row>
    <row r="4" spans="1:5" x14ac:dyDescent="0.3">
      <c r="A4" s="2"/>
      <c r="B4" s="1">
        <v>2</v>
      </c>
      <c r="C4">
        <f t="shared" si="0"/>
        <v>349.22823143300383</v>
      </c>
      <c r="D4">
        <f>(1/C4)*1000000</f>
        <v>2863.4569315792578</v>
      </c>
      <c r="E4" s="1">
        <f>ROUND(65536-D4/(24*(1/11.0592)),0)</f>
        <v>64217</v>
      </c>
    </row>
    <row r="5" spans="1:5" x14ac:dyDescent="0.3">
      <c r="A5" s="2"/>
      <c r="B5" s="1" t="s">
        <v>1</v>
      </c>
      <c r="C5">
        <f t="shared" si="0"/>
        <v>369.99442271163434</v>
      </c>
      <c r="D5">
        <f>(1/C5)*1000000</f>
        <v>2702.7434431880029</v>
      </c>
      <c r="E5" s="1">
        <f>ROUND(65536-D5/(24*(1/11.0592)),0)</f>
        <v>64291</v>
      </c>
    </row>
    <row r="6" spans="1:5" x14ac:dyDescent="0.3">
      <c r="A6" s="2"/>
      <c r="B6" s="1">
        <v>3</v>
      </c>
      <c r="C6">
        <f t="shared" si="0"/>
        <v>391.99543598174927</v>
      </c>
      <c r="D6">
        <f>(1/C6)*1000000</f>
        <v>2551.0501097940296</v>
      </c>
      <c r="E6" s="1">
        <f>ROUND(65536-D6/(24*(1/11.0592)),0)</f>
        <v>64360</v>
      </c>
    </row>
    <row r="7" spans="1:5" x14ac:dyDescent="0.3">
      <c r="A7" s="2"/>
      <c r="B7" s="1">
        <v>4</v>
      </c>
      <c r="C7">
        <f>C8/2^(1/12)</f>
        <v>415.30469757994513</v>
      </c>
      <c r="D7">
        <f>(1/C7)*1000000</f>
        <v>2407.8706689983983</v>
      </c>
      <c r="E7" s="1">
        <f>ROUND(65536-D7/(24*(1/11.0592)),0)</f>
        <v>64426</v>
      </c>
    </row>
    <row r="8" spans="1:5" x14ac:dyDescent="0.3">
      <c r="A8" s="2"/>
      <c r="B8" s="1" t="s">
        <v>2</v>
      </c>
      <c r="C8">
        <v>440</v>
      </c>
      <c r="D8">
        <f>(1/C8)*1000000</f>
        <v>2272.7272727272725</v>
      </c>
      <c r="E8" s="1">
        <f>ROUND(65536-D8/(24*(1/11.0592)),0)</f>
        <v>64489</v>
      </c>
    </row>
    <row r="9" spans="1:5" x14ac:dyDescent="0.3">
      <c r="A9" s="2"/>
      <c r="B9" s="1">
        <v>5</v>
      </c>
      <c r="C9">
        <f>C8*2^(1/12)</f>
        <v>466.16376151808993</v>
      </c>
      <c r="D9">
        <f>(1/C9)*1000000</f>
        <v>2145.1688924583941</v>
      </c>
      <c r="E9" s="1">
        <f>ROUND(65536-D9/(24*(1/11.0592)),0)</f>
        <v>64548</v>
      </c>
    </row>
    <row r="10" spans="1:5" x14ac:dyDescent="0.3">
      <c r="A10" s="2"/>
      <c r="B10" s="1" t="s">
        <v>3</v>
      </c>
      <c r="C10">
        <f>C9*2^(1/12)</f>
        <v>493.88330125612413</v>
      </c>
      <c r="D10">
        <f>(1/C10)*1000000</f>
        <v>2024.7698139553163</v>
      </c>
      <c r="E10" s="1">
        <f>ROUND(65536-D10/(24*(1/11.0592)),0)</f>
        <v>64603</v>
      </c>
    </row>
    <row r="11" spans="1:5" x14ac:dyDescent="0.3">
      <c r="A11" s="2"/>
      <c r="B11" s="1">
        <v>6</v>
      </c>
      <c r="C11">
        <f>C10*2^(1/12)</f>
        <v>523.25113060119736</v>
      </c>
      <c r="D11">
        <f>(1/C11)*1000000</f>
        <v>1911.1282164857146</v>
      </c>
      <c r="E11" s="1">
        <f>ROUND(65536-D11/(24*(1/11.0592)),0)</f>
        <v>64655</v>
      </c>
    </row>
    <row r="12" spans="1:5" x14ac:dyDescent="0.3">
      <c r="A12" s="2"/>
      <c r="B12" s="1" t="s">
        <v>4</v>
      </c>
      <c r="C12">
        <f>C11*2^(1/12)</f>
        <v>554.36526195374427</v>
      </c>
      <c r="D12">
        <f>(1/C12)*1000000</f>
        <v>1803.8648317820446</v>
      </c>
      <c r="E12" s="1">
        <f>ROUND(65536-D12/(24*(1/11.0592)),0)</f>
        <v>64705</v>
      </c>
    </row>
    <row r="13" spans="1:5" x14ac:dyDescent="0.3">
      <c r="A13" s="2"/>
      <c r="B13" s="1">
        <v>7</v>
      </c>
      <c r="C13">
        <f>C12*2^(1/12)</f>
        <v>587.32953583481526</v>
      </c>
      <c r="D13">
        <f>(1/C13)*1000000</f>
        <v>1702.6216782689557</v>
      </c>
      <c r="E13" s="1">
        <f>ROUND(65536-D13/(24*(1/11.0592)),0)</f>
        <v>64751</v>
      </c>
    </row>
    <row r="14" spans="1:5" x14ac:dyDescent="0.3">
      <c r="A14" s="2" t="s">
        <v>10</v>
      </c>
      <c r="B14" s="1">
        <v>1</v>
      </c>
      <c r="C14">
        <f>C13*2^(1/12)</f>
        <v>622.25396744416196</v>
      </c>
      <c r="D14">
        <f>(1/C14)*1000000</f>
        <v>1607.0608663330622</v>
      </c>
      <c r="E14" s="1">
        <f>ROUND(65536-D14/(24*(1/11.0592)),0)</f>
        <v>64795</v>
      </c>
    </row>
    <row r="15" spans="1:5" x14ac:dyDescent="0.3">
      <c r="A15" s="2"/>
      <c r="B15" s="1" t="s">
        <v>0</v>
      </c>
      <c r="C15">
        <f>C14*2^(1/12)</f>
        <v>659.25511382574007</v>
      </c>
      <c r="D15">
        <f>(1/C15)*1000000</f>
        <v>1516.8634706477658</v>
      </c>
      <c r="E15" s="1">
        <f>ROUND(65536-D15/(24*(1/11.0592)),0)</f>
        <v>64837</v>
      </c>
    </row>
    <row r="16" spans="1:5" x14ac:dyDescent="0.3">
      <c r="A16" s="2"/>
      <c r="B16" s="1">
        <v>2</v>
      </c>
      <c r="C16">
        <f>C15*2^(1/12)</f>
        <v>698.456462866008</v>
      </c>
      <c r="D16">
        <f>(1/C16)*1000000</f>
        <v>1431.7284657896282</v>
      </c>
      <c r="E16" s="1">
        <f>ROUND(65536-D16/(24*(1/11.0592)),0)</f>
        <v>64876</v>
      </c>
    </row>
    <row r="17" spans="1:5" x14ac:dyDescent="0.3">
      <c r="A17" s="2"/>
      <c r="B17" s="1" t="s">
        <v>1</v>
      </c>
      <c r="C17">
        <f>C16*2^(1/12)</f>
        <v>739.98884542326903</v>
      </c>
      <c r="D17">
        <f>(1/C17)*1000000</f>
        <v>1351.3717215940007</v>
      </c>
      <c r="E17" s="1">
        <f>ROUND(65536-D17/(24*(1/11.0592)),0)</f>
        <v>64913</v>
      </c>
    </row>
    <row r="18" spans="1:5" x14ac:dyDescent="0.3">
      <c r="A18" s="2"/>
      <c r="B18" s="1">
        <v>3</v>
      </c>
      <c r="C18">
        <f>C17*2^(1/12)</f>
        <v>783.99087196349888</v>
      </c>
      <c r="D18">
        <f>(1/C18)*1000000</f>
        <v>1275.5250548970143</v>
      </c>
      <c r="E18" s="1">
        <f>ROUND(65536-D18/(24*(1/11.0592)),0)</f>
        <v>64948</v>
      </c>
    </row>
    <row r="19" spans="1:5" x14ac:dyDescent="0.3">
      <c r="A19" s="2"/>
      <c r="B19" s="1">
        <v>4</v>
      </c>
      <c r="C19">
        <f>C18*2^(1/12)</f>
        <v>830.6093951598906</v>
      </c>
      <c r="D19">
        <f>(1/C19)*1000000</f>
        <v>1203.9353344991987</v>
      </c>
      <c r="E19" s="1">
        <f>ROUND(65536-D19/(24*(1/11.0592)),0)</f>
        <v>64981</v>
      </c>
    </row>
    <row r="20" spans="1:5" x14ac:dyDescent="0.3">
      <c r="A20" s="2"/>
      <c r="B20" s="1" t="s">
        <v>2</v>
      </c>
      <c r="C20">
        <f>C19*2^(1/12)</f>
        <v>880.00000000000034</v>
      </c>
      <c r="D20">
        <f>(1/C20)*1000000</f>
        <v>1136.3636363636358</v>
      </c>
      <c r="E20" s="1">
        <f>ROUND(65536-D20/(24*(1/11.0592)),0)</f>
        <v>65012</v>
      </c>
    </row>
    <row r="21" spans="1:5" x14ac:dyDescent="0.3">
      <c r="A21" s="2"/>
      <c r="B21" s="1">
        <v>5</v>
      </c>
      <c r="C21">
        <f>C20*2^(1/12)</f>
        <v>932.3275230361802</v>
      </c>
      <c r="D21">
        <f>(1/C21)*1000000</f>
        <v>1072.5844462291968</v>
      </c>
      <c r="E21" s="1">
        <f>ROUND(65536-D21/(24*(1/11.0592)),0)</f>
        <v>65042</v>
      </c>
    </row>
    <row r="22" spans="1:5" x14ac:dyDescent="0.3">
      <c r="A22" s="2"/>
      <c r="B22" s="1" t="s">
        <v>3</v>
      </c>
      <c r="C22">
        <f>C21*2^(1/12)</f>
        <v>987.7666025122486</v>
      </c>
      <c r="D22">
        <f>(1/C22)*1000000</f>
        <v>1012.384906977658</v>
      </c>
      <c r="E22" s="1">
        <f>ROUND(65536-D22/(24*(1/11.0592)),0)</f>
        <v>65069</v>
      </c>
    </row>
    <row r="23" spans="1:5" x14ac:dyDescent="0.3">
      <c r="A23" s="2"/>
      <c r="B23" s="1">
        <v>6</v>
      </c>
      <c r="C23">
        <f>C22*2^(1/12)</f>
        <v>1046.5022612023949</v>
      </c>
      <c r="D23">
        <f>(1/C23)*1000000</f>
        <v>955.56410824285706</v>
      </c>
      <c r="E23" s="1">
        <f>ROUND(65536-D23/(24*(1/11.0592)),0)</f>
        <v>65096</v>
      </c>
    </row>
    <row r="24" spans="1:5" x14ac:dyDescent="0.3">
      <c r="A24" s="2"/>
      <c r="B24" s="1" t="s">
        <v>4</v>
      </c>
      <c r="C24">
        <f>C23*2^(1/12)</f>
        <v>1108.7305239074888</v>
      </c>
      <c r="D24">
        <f>(1/C24)*1000000</f>
        <v>901.93241589102206</v>
      </c>
      <c r="E24" s="1">
        <f>ROUND(65536-D24/(24*(1/11.0592)),0)</f>
        <v>65120</v>
      </c>
    </row>
    <row r="25" spans="1:5" x14ac:dyDescent="0.3">
      <c r="A25" s="2"/>
      <c r="B25" s="1">
        <v>7</v>
      </c>
      <c r="C25">
        <f>C24*2^(1/12)</f>
        <v>1174.6590716696307</v>
      </c>
      <c r="D25">
        <f>(1/C25)*1000000</f>
        <v>851.31083913447765</v>
      </c>
      <c r="E25" s="1">
        <f>ROUND(65536-D25/(24*(1/11.0592)),0)</f>
        <v>65144</v>
      </c>
    </row>
    <row r="26" spans="1:5" x14ac:dyDescent="0.3">
      <c r="A26" s="1"/>
    </row>
    <row r="27" spans="1:5" x14ac:dyDescent="0.3">
      <c r="A27" s="1"/>
    </row>
    <row r="28" spans="1:5" x14ac:dyDescent="0.3">
      <c r="A28" s="1"/>
    </row>
    <row r="29" spans="1:5" x14ac:dyDescent="0.3">
      <c r="A29" s="1"/>
    </row>
    <row r="30" spans="1:5" x14ac:dyDescent="0.3">
      <c r="A30" s="1"/>
    </row>
    <row r="31" spans="1:5" x14ac:dyDescent="0.3">
      <c r="A31" s="1"/>
    </row>
    <row r="32" spans="1:5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</sheetData>
  <mergeCells count="2">
    <mergeCell ref="A2:A13"/>
    <mergeCell ref="A14:A2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 w</dc:creator>
  <cp:lastModifiedBy>js w</cp:lastModifiedBy>
  <dcterms:created xsi:type="dcterms:W3CDTF">2026-08-19T11:47:23Z</dcterms:created>
  <dcterms:modified xsi:type="dcterms:W3CDTF">2026-08-19T13:46:04Z</dcterms:modified>
</cp:coreProperties>
</file>